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uel.nunhez\Desktop\Mi escrito\EXCEL\"/>
    </mc:Choice>
  </mc:AlternateContent>
  <xr:revisionPtr revIDLastSave="0" documentId="13_ncr:1_{E3BB0F1B-7267-4790-B4C2-E562EA428CD9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alance General" sheetId="1" r:id="rId1"/>
    <sheet name="Estado de Resultados" sheetId="2" r:id="rId2"/>
    <sheet name="Estado de Flujos de Efectivo" sheetId="3" r:id="rId3"/>
  </sheets>
  <definedNames>
    <definedName name="_xlnm._FilterDatabase" localSheetId="0" hidden="1">'Balance General'!$A$5:$C$44</definedName>
    <definedName name="_xlnm._FilterDatabase" localSheetId="2" hidden="1">'Estado de Flujos de Efectivo'!$A$5:$G$38</definedName>
    <definedName name="_xlnm._FilterDatabase" localSheetId="1" hidden="1">'Estado de Resultados'!$A$5:$G$31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3" l="1"/>
  <c r="G38" i="3"/>
  <c r="F38" i="3"/>
  <c r="F35" i="3"/>
  <c r="E35" i="3"/>
  <c r="D35" i="3"/>
  <c r="C35" i="3"/>
  <c r="B35" i="3"/>
  <c r="G35" i="3"/>
  <c r="C30" i="3"/>
  <c r="E30" i="3"/>
  <c r="D30" i="3"/>
  <c r="B30" i="3"/>
  <c r="F30" i="3"/>
  <c r="G30" i="3"/>
  <c r="B16" i="3"/>
  <c r="B26" i="3" s="1"/>
  <c r="C16" i="3"/>
  <c r="C26" i="3" s="1"/>
  <c r="D16" i="3"/>
  <c r="D26" i="3" s="1"/>
  <c r="E16" i="3"/>
  <c r="E26" i="3" s="1"/>
  <c r="E36" i="3" s="1"/>
  <c r="E38" i="3" s="1"/>
  <c r="F16" i="3"/>
  <c r="F26" i="3" s="1"/>
  <c r="G16" i="3"/>
  <c r="G26" i="3" s="1"/>
  <c r="B23" i="2"/>
  <c r="F23" i="2"/>
  <c r="C10" i="2"/>
  <c r="D10" i="2"/>
  <c r="E10" i="2"/>
  <c r="F10" i="2"/>
  <c r="C14" i="2"/>
  <c r="D14" i="2"/>
  <c r="E14" i="2"/>
  <c r="F14" i="2"/>
  <c r="C23" i="2"/>
  <c r="D23" i="2"/>
  <c r="E23" i="2"/>
  <c r="G23" i="2"/>
  <c r="G14" i="2"/>
  <c r="B14" i="2"/>
  <c r="G10" i="2"/>
  <c r="B10" i="2"/>
  <c r="B41" i="1"/>
  <c r="B39" i="1"/>
  <c r="F43" i="1"/>
  <c r="G43" i="1"/>
  <c r="F20" i="1"/>
  <c r="G20" i="1"/>
  <c r="F14" i="1"/>
  <c r="G14" i="1"/>
  <c r="F35" i="1"/>
  <c r="G35" i="1"/>
  <c r="F29" i="1"/>
  <c r="G29" i="1"/>
  <c r="D43" i="1"/>
  <c r="E43" i="1"/>
  <c r="D35" i="1"/>
  <c r="E35" i="1"/>
  <c r="D29" i="1"/>
  <c r="E29" i="1"/>
  <c r="D20" i="1"/>
  <c r="E20" i="1"/>
  <c r="D14" i="1"/>
  <c r="E14" i="1"/>
  <c r="C43" i="1"/>
  <c r="B43" i="1"/>
  <c r="B35" i="1"/>
  <c r="C35" i="1"/>
  <c r="C29" i="1"/>
  <c r="B29" i="1"/>
  <c r="B20" i="1"/>
  <c r="C20" i="1"/>
  <c r="C14" i="1"/>
  <c r="C21" i="1" s="1"/>
  <c r="B14" i="1"/>
  <c r="C36" i="3" l="1"/>
  <c r="C38" i="3" s="1"/>
  <c r="B38" i="3"/>
  <c r="D36" i="3"/>
  <c r="D38" i="3" s="1"/>
  <c r="C15" i="2"/>
  <c r="E15" i="2"/>
  <c r="E24" i="2" s="1"/>
  <c r="E31" i="2" s="1"/>
  <c r="D15" i="2"/>
  <c r="D24" i="2" s="1"/>
  <c r="D31" i="2" s="1"/>
  <c r="C24" i="2"/>
  <c r="C31" i="2" s="1"/>
  <c r="F15" i="2"/>
  <c r="G15" i="2"/>
  <c r="G24" i="2" s="1"/>
  <c r="G31" i="2" s="1"/>
  <c r="B15" i="2"/>
  <c r="B24" i="2" s="1"/>
  <c r="B31" i="2" s="1"/>
  <c r="B36" i="1"/>
  <c r="B44" i="1" s="1"/>
  <c r="C36" i="1"/>
  <c r="C44" i="1" s="1"/>
  <c r="F36" i="1"/>
  <c r="F44" i="1" s="1"/>
  <c r="G36" i="1"/>
  <c r="G44" i="1" s="1"/>
  <c r="B21" i="1"/>
  <c r="G21" i="1"/>
  <c r="F21" i="1"/>
  <c r="E21" i="1"/>
  <c r="D36" i="1"/>
  <c r="D44" i="1" s="1"/>
  <c r="E36" i="1"/>
  <c r="E44" i="1" s="1"/>
  <c r="D21" i="1"/>
  <c r="F24" i="2" l="1"/>
  <c r="F3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7" authorId="0" shapeId="0" xr:uid="{00000000-0006-0000-0200-000002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7" authorId="0" shapeId="0" xr:uid="{00000000-0006-0000-0200-000001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9" authorId="0" shapeId="0" xr:uid="{00000000-0006-0000-0200-000004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9" authorId="0" shapeId="0" xr:uid="{00000000-0006-0000-0200-000003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10" authorId="0" shapeId="0" xr:uid="{00000000-0006-0000-0200-000006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10" authorId="0" shapeId="0" xr:uid="{00000000-0006-0000-0200-000005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11" authorId="0" shapeId="0" xr:uid="{00000000-0006-0000-0200-00000A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11" authorId="0" shapeId="0" xr:uid="{00000000-0006-0000-0200-000009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12" authorId="0" shapeId="0" xr:uid="{00000000-0006-0000-0200-000008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12" authorId="0" shapeId="0" xr:uid="{00000000-0006-0000-0200-000007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B16" authorId="0" shapeId="0" xr:uid="{1AE20B78-1DAE-4E0F-AF53-6A26343E0012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C16" authorId="0" shapeId="0" xr:uid="{99084D18-E211-4F87-A246-FD5E5DF38A6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D16" authorId="0" shapeId="0" xr:uid="{DE8A94E8-C699-428D-B413-4697592424CA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E16" authorId="0" shapeId="0" xr:uid="{3B1CE5E0-18E9-4AE2-82F2-428470210B77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16" authorId="0" shapeId="0" xr:uid="{16034673-A911-4065-8B3D-306DCF3AE598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16" authorId="0" shapeId="0" xr:uid="{00000000-0006-0000-0200-00000B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18" authorId="0" shapeId="0" xr:uid="{00000000-0006-0000-0200-00000E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18" authorId="0" shapeId="0" xr:uid="{00000000-0006-0000-0200-00000D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19" authorId="0" shapeId="0" xr:uid="{00000000-0006-0000-0200-000010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19" authorId="0" shapeId="0" xr:uid="{00000000-0006-0000-0200-00000F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20" authorId="0" shapeId="0" xr:uid="{00000000-0006-0000-0200-000012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20" authorId="0" shapeId="0" xr:uid="{00000000-0006-0000-0200-000011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21" authorId="0" shapeId="0" xr:uid="{00000000-0006-0000-0200-000014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21" authorId="0" shapeId="0" xr:uid="{00000000-0006-0000-0200-000013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22" authorId="0" shapeId="0" xr:uid="{00000000-0006-0000-0200-000016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22" authorId="0" shapeId="0" xr:uid="{00000000-0006-0000-0200-000015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24" authorId="0" shapeId="0" xr:uid="{00000000-0006-0000-0200-000018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24" authorId="0" shapeId="0" xr:uid="{00000000-0006-0000-0200-000017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25" authorId="0" shapeId="0" xr:uid="{00000000-0006-0000-0200-00001A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25" authorId="0" shapeId="0" xr:uid="{00000000-0006-0000-0200-000019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26" authorId="0" shapeId="0" xr:uid="{95315624-F1C2-4440-B184-BDDD431900E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26" authorId="0" shapeId="0" xr:uid="{00000000-0006-0000-0200-00001B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28" authorId="0" shapeId="0" xr:uid="{00000000-0006-0000-0200-00001E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28" authorId="0" shapeId="0" xr:uid="{00000000-0006-0000-0200-00001D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29" authorId="0" shapeId="0" xr:uid="{00000000-0006-0000-0200-000020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29" authorId="0" shapeId="0" xr:uid="{00000000-0006-0000-0200-00001F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30" authorId="0" shapeId="0" xr:uid="{521888F6-6E21-44B1-866A-227AB8D59193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30" authorId="0" shapeId="0" xr:uid="{00000000-0006-0000-0200-000021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32" authorId="0" shapeId="0" xr:uid="{00000000-0006-0000-0200-000024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32" authorId="0" shapeId="0" xr:uid="{00000000-0006-0000-0200-000023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33" authorId="0" shapeId="0" xr:uid="{00000000-0006-0000-0200-000025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34" authorId="0" shapeId="0" xr:uid="{00000000-0006-0000-0200-000027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34" authorId="0" shapeId="0" xr:uid="{00000000-0006-0000-0200-000026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35" authorId="0" shapeId="0" xr:uid="{00000000-0006-0000-0200-000029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35" authorId="0" shapeId="0" xr:uid="{00000000-0006-0000-0200-000028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36" authorId="0" shapeId="0" xr:uid="{00000000-0006-0000-0200-00002B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36" authorId="0" shapeId="0" xr:uid="{00000000-0006-0000-0200-00002A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37" authorId="0" shapeId="0" xr:uid="{00000000-0006-0000-0200-00002D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37" authorId="0" shapeId="0" xr:uid="{00000000-0006-0000-0200-00002C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F38" authorId="0" shapeId="0" xr:uid="{00000000-0006-0000-0200-00002F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  <comment ref="G38" authorId="0" shapeId="0" xr:uid="{00000000-0006-0000-0200-00002E000000}">
      <text>
        <r>
          <rPr>
            <sz val="8"/>
            <color indexed="81"/>
            <rFont val="Tahoma"/>
            <family val="2"/>
          </rPr>
          <t>Fuente: transcripción manual desde imágenes proporcionadas por el usuario en el chat. Estados Financieros Auditados Tienda Amiga ER S.A. 2024-2025.</t>
        </r>
      </text>
    </comment>
  </commentList>
</comments>
</file>

<file path=xl/sharedStrings.xml><?xml version="1.0" encoding="utf-8"?>
<sst xmlns="http://schemas.openxmlformats.org/spreadsheetml/2006/main" count="122" uniqueCount="101">
  <si>
    <t>BALANCE GENERAL</t>
  </si>
  <si>
    <t>(Expresado en Bolivianos)</t>
  </si>
  <si>
    <t>2025</t>
  </si>
  <si>
    <t>2024</t>
  </si>
  <si>
    <t>Concepto</t>
  </si>
  <si>
    <t>Bs</t>
  </si>
  <si>
    <t>Activo</t>
  </si>
  <si>
    <t>Activo corriente:</t>
  </si>
  <si>
    <t>Disponibilidades</t>
  </si>
  <si>
    <t>Cuentas por cobrar comerciales</t>
  </si>
  <si>
    <t>Anticipo Proveedores</t>
  </si>
  <si>
    <t>Otras cuentas cobrar</t>
  </si>
  <si>
    <t>Inventario</t>
  </si>
  <si>
    <t>Total activo corriente</t>
  </si>
  <si>
    <t>Activo no corriente:</t>
  </si>
  <si>
    <t>Activos fijos, neto</t>
  </si>
  <si>
    <t>Otros activos</t>
  </si>
  <si>
    <t>Total Activo No Corriente</t>
  </si>
  <si>
    <t>Total Activo</t>
  </si>
  <si>
    <t>Pasivo y Patrimonio Neto</t>
  </si>
  <si>
    <t>Pasivo corriente:</t>
  </si>
  <si>
    <t>Deudas con Proveedores</t>
  </si>
  <si>
    <t>Obligaciones sociales y fiscales CP</t>
  </si>
  <si>
    <t>Otras cuentas por pagar</t>
  </si>
  <si>
    <t>Total Pasivo corriente</t>
  </si>
  <si>
    <t>Pasivo no corriente:</t>
  </si>
  <si>
    <t>Obligaciones sociales y fiscales LP</t>
  </si>
  <si>
    <t>Previsión para beneficios sociales</t>
  </si>
  <si>
    <t>Total Pasivo No corriente</t>
  </si>
  <si>
    <t>Total Pasivo</t>
  </si>
  <si>
    <t>Patrimonio Neto</t>
  </si>
  <si>
    <t>Capital social</t>
  </si>
  <si>
    <t>Ajuste de capital</t>
  </si>
  <si>
    <t>Reservas</t>
  </si>
  <si>
    <t>Resultados acumulados</t>
  </si>
  <si>
    <t>Total patrimonio</t>
  </si>
  <si>
    <t>Total pasivo y patrimonio neto</t>
  </si>
  <si>
    <t>ESTADO DE RESULTADOS</t>
  </si>
  <si>
    <t>Ingresos</t>
  </si>
  <si>
    <t>Ingresos operativos:</t>
  </si>
  <si>
    <t>Ingresos por ventas</t>
  </si>
  <si>
    <t>Ingresos por servicios y otros</t>
  </si>
  <si>
    <t>Total ingresos operativos</t>
  </si>
  <si>
    <t>Costo de ventas:</t>
  </si>
  <si>
    <t>Costo de ventas</t>
  </si>
  <si>
    <t>Costo de servicios</t>
  </si>
  <si>
    <t>Total costo de ventas</t>
  </si>
  <si>
    <t>Utilidad Bruta en Ventas</t>
  </si>
  <si>
    <t>Gastos</t>
  </si>
  <si>
    <t>Gastos Operativos</t>
  </si>
  <si>
    <t>Gastos de administración</t>
  </si>
  <si>
    <t>Gastos de comercialización</t>
  </si>
  <si>
    <t>Gastos por impuestos</t>
  </si>
  <si>
    <t>Gastos de depreciación y amortización</t>
  </si>
  <si>
    <t>Previsión cuentas incobrables</t>
  </si>
  <si>
    <t>Total gastos operativos</t>
  </si>
  <si>
    <t>Utilidad Bruta en Operaciones</t>
  </si>
  <si>
    <t>Otros Ingresos (Gastos)</t>
  </si>
  <si>
    <t>Otros gastos/ingresos</t>
  </si>
  <si>
    <t>IT compensado</t>
  </si>
  <si>
    <t>Diferencia de cambio</t>
  </si>
  <si>
    <t>Resultado del periodo</t>
  </si>
  <si>
    <t>ESTADO DE FLUJOS DE EFECTIVO</t>
  </si>
  <si>
    <t>Actividades de operación:</t>
  </si>
  <si>
    <t>Utilidad neta del ejercicio</t>
  </si>
  <si>
    <t>Ajustes para conciliar la utilidad neta y el efectivo neto por actividades operativas:</t>
  </si>
  <si>
    <t>Provisión para indemnizaciones</t>
  </si>
  <si>
    <t>Depreciación &amp; amortización del activo fijo</t>
  </si>
  <si>
    <t>Intereses por pagar</t>
  </si>
  <si>
    <t>Previsión para cuentas incobrables</t>
  </si>
  <si>
    <t>Cambio en activos y pasivos operativos netos:</t>
  </si>
  <si>
    <t>Aumento en cuentas por cobrar clientes</t>
  </si>
  <si>
    <t>Aumento en otras cuentas por cobrar y anticipos</t>
  </si>
  <si>
    <t>(Disminución) aumento en inventarios</t>
  </si>
  <si>
    <t>(Disminución) aumento en obligaciones sociales y fiscales</t>
  </si>
  <si>
    <t>Pago de indemnizaciones</t>
  </si>
  <si>
    <t>Flujo de efectivo por actividades de operación</t>
  </si>
  <si>
    <t>Actividades de inversión:</t>
  </si>
  <si>
    <t>Aumentos netos de bienes de uso</t>
  </si>
  <si>
    <t>(Disminución) aumento en otros activos e inversiones</t>
  </si>
  <si>
    <t>Flujo de efectivo por actividades de inversión</t>
  </si>
  <si>
    <t>Actividades de financiamiento:</t>
  </si>
  <si>
    <t>Desembolso (Amortización) de prestamos</t>
  </si>
  <si>
    <t>Pago de dividendos Acc. Preferentes</t>
  </si>
  <si>
    <t>Incremento de capital</t>
  </si>
  <si>
    <t>Flujo de efectivo por actividades de financiamiento</t>
  </si>
  <si>
    <t>(Incremento) Disminución neta en el efectivo</t>
  </si>
  <si>
    <t>Disponibilidades al inicio del ejercicio</t>
  </si>
  <si>
    <t>Disponibilidades al final del ejercicio</t>
  </si>
  <si>
    <t>Deudas financieras CP</t>
  </si>
  <si>
    <t>Deudas financieras LP</t>
  </si>
  <si>
    <t>Inversiones permanente CP</t>
  </si>
  <si>
    <t>Inversiones permanente LP</t>
  </si>
  <si>
    <t>Ajuste por inflación y tenencia de bienes</t>
  </si>
  <si>
    <t>Gastos financieros</t>
  </si>
  <si>
    <t>Bajas de activos fijos</t>
  </si>
  <si>
    <t>Ajustes por reexpresión y tenencia de bienes</t>
  </si>
  <si>
    <t>Ajuste de resultados acumulados</t>
  </si>
  <si>
    <t>(Disminución) aumento en cuentas por pagar comerciales</t>
  </si>
  <si>
    <t>(Disminución) aumento en inversiones permanentes</t>
  </si>
  <si>
    <t>(Disminución) aumento en otras cuentas por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</si>
</sst>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;\-"/>
  </numFmts>
  <fonts count="1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8"/>
      <color indexed="81"/>
      <name val="Tahoma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</font>
    <font>
      <b/>
      <sz val="10"/>
      <name val="Arial"/>
    </font>
    <font>
      <sz val="10"/>
      <color rgb="FF0000FF"/>
      <name val="Arial"/>
    </font>
    <font>
      <sz val="10"/>
      <color rgb="FFFF0000"/>
      <name val="Arial"/>
    </font>
    <font>
      <b/>
      <sz val="10"/>
      <color rgb="FF0000FF"/>
      <name val="Arial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AF7"/>
        <bgColor rgb="FF000000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 style="thin">
        <color rgb="FFA6A6A6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rgb="FF1F4E78"/>
      </top>
      <bottom/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4" borderId="0" xfId="0" applyFont="1" applyFill="1"/>
    <xf numFmtId="0" fontId="5" fillId="0" borderId="0" xfId="0" applyFont="1"/>
    <xf numFmtId="164" fontId="6" fillId="0" borderId="0" xfId="0" applyNumberFormat="1" applyFont="1" applyAlignment="1">
      <alignment horizontal="right"/>
    </xf>
    <xf numFmtId="0" fontId="3" fillId="0" borderId="2" xfId="0" applyFont="1" applyBorder="1"/>
    <xf numFmtId="164" fontId="7" fillId="0" borderId="2" xfId="0" applyNumberFormat="1" applyFont="1" applyBorder="1" applyAlignment="1">
      <alignment horizontal="right"/>
    </xf>
    <xf numFmtId="0" fontId="3" fillId="0" borderId="3" xfId="0" applyFont="1" applyBorder="1"/>
    <xf numFmtId="164" fontId="7" fillId="0" borderId="3" xfId="0" applyNumberFormat="1" applyFont="1" applyBorder="1" applyAlignment="1">
      <alignment horizontal="right"/>
    </xf>
    <xf numFmtId="0" fontId="4" fillId="3" borderId="0" xfId="0" applyFont="1" applyFill="1" applyAlignment="1">
      <alignment horizontal="left"/>
    </xf>
    <xf numFmtId="0" fontId="1" fillId="0" borderId="0" xfId="0" applyFont="1"/>
    <xf numFmtId="0" fontId="2" fillId="0" borderId="0" xfId="0" applyFont="1"/>
    <xf numFmtId="0" fontId="4" fillId="3" borderId="4" xfId="0" applyFont="1" applyFill="1" applyBorder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left" vertical="center"/>
    </xf>
    <xf numFmtId="0" fontId="12" fillId="5" borderId="0" xfId="0" applyFont="1" applyFill="1" applyAlignment="1">
      <alignment horizontal="center"/>
    </xf>
    <xf numFmtId="0" fontId="12" fillId="5" borderId="5" xfId="0" applyFont="1" applyFill="1" applyBorder="1" applyAlignment="1">
      <alignment horizontal="center"/>
    </xf>
    <xf numFmtId="0" fontId="4" fillId="3" borderId="0" xfId="0" applyFont="1" applyFill="1" applyAlignment="1"/>
    <xf numFmtId="3" fontId="13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3" fontId="10" fillId="0" borderId="0" xfId="0" applyNumberFormat="1" applyFont="1"/>
    <xf numFmtId="3" fontId="14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3" fontId="15" fillId="0" borderId="0" xfId="0" applyNumberFormat="1" applyFont="1" applyAlignment="1">
      <alignment horizontal="right" vertical="center"/>
    </xf>
    <xf numFmtId="3" fontId="15" fillId="0" borderId="6" xfId="0" applyNumberFormat="1" applyFont="1" applyBorder="1" applyAlignment="1">
      <alignment horizontal="right" vertical="center"/>
    </xf>
    <xf numFmtId="164" fontId="0" fillId="0" borderId="3" xfId="0" applyNumberFormat="1" applyBorder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showGridLines="0" workbookViewId="0">
      <pane ySplit="5" topLeftCell="A15" activePane="bottomLeft" state="frozen"/>
      <selection pane="bottomLeft" activeCell="A4" sqref="A4"/>
    </sheetView>
  </sheetViews>
  <sheetFormatPr baseColWidth="10" defaultColWidth="9.140625" defaultRowHeight="15" x14ac:dyDescent="0.25"/>
  <cols>
    <col min="1" max="1" width="44.7109375" customWidth="1"/>
    <col min="2" max="3" width="16.7109375" customWidth="1"/>
    <col min="4" max="4" width="16" customWidth="1"/>
    <col min="5" max="5" width="17.42578125" bestFit="1" customWidth="1"/>
    <col min="6" max="7" width="11.140625" bestFit="1" customWidth="1"/>
  </cols>
  <sheetData>
    <row r="1" spans="1:14" ht="15.75" x14ac:dyDescent="0.25">
      <c r="A1" s="11"/>
      <c r="B1" s="11"/>
      <c r="C1" s="11"/>
    </row>
    <row r="2" spans="1:14" ht="15.75" x14ac:dyDescent="0.25">
      <c r="A2" s="11" t="s">
        <v>0</v>
      </c>
      <c r="B2" s="11"/>
      <c r="C2" s="11"/>
    </row>
    <row r="3" spans="1:14" x14ac:dyDescent="0.25">
      <c r="A3" s="12" t="s">
        <v>1</v>
      </c>
      <c r="B3" s="12"/>
      <c r="C3" s="12"/>
    </row>
    <row r="4" spans="1:14" ht="15.75" thickBot="1" x14ac:dyDescent="0.3">
      <c r="B4" s="1">
        <v>2020</v>
      </c>
      <c r="C4" s="1">
        <v>2021</v>
      </c>
      <c r="D4" s="1">
        <v>2022</v>
      </c>
      <c r="E4" s="1">
        <v>2023</v>
      </c>
      <c r="F4" s="1">
        <v>2024</v>
      </c>
      <c r="G4" s="1">
        <v>2025</v>
      </c>
    </row>
    <row r="5" spans="1:14" ht="15.75" thickBot="1" x14ac:dyDescent="0.3">
      <c r="A5" s="2" t="s">
        <v>4</v>
      </c>
      <c r="B5" s="1" t="s">
        <v>5</v>
      </c>
      <c r="C5" s="1" t="s">
        <v>5</v>
      </c>
      <c r="D5" s="1" t="s">
        <v>5</v>
      </c>
      <c r="E5" s="1" t="s">
        <v>5</v>
      </c>
      <c r="F5" s="1" t="s">
        <v>5</v>
      </c>
      <c r="G5" s="1" t="s">
        <v>5</v>
      </c>
    </row>
    <row r="6" spans="1:14" x14ac:dyDescent="0.25">
      <c r="A6" s="13" t="s">
        <v>6</v>
      </c>
      <c r="B6" s="13"/>
      <c r="C6" s="13"/>
      <c r="D6" s="13"/>
      <c r="E6" s="13"/>
      <c r="F6" s="13"/>
      <c r="G6" s="13"/>
    </row>
    <row r="7" spans="1:14" x14ac:dyDescent="0.25">
      <c r="A7" s="3" t="s">
        <v>7</v>
      </c>
      <c r="B7" s="3"/>
      <c r="C7" s="3"/>
      <c r="D7" s="3"/>
      <c r="E7" s="3"/>
      <c r="F7" s="3"/>
      <c r="G7" s="3"/>
    </row>
    <row r="8" spans="1:14" x14ac:dyDescent="0.25">
      <c r="A8" s="4" t="s">
        <v>8</v>
      </c>
      <c r="B8" s="5">
        <v>2534314</v>
      </c>
      <c r="C8" s="5">
        <v>5827994</v>
      </c>
      <c r="D8" s="5">
        <v>36519337</v>
      </c>
      <c r="E8" s="5">
        <v>5428740</v>
      </c>
      <c r="F8" s="5">
        <v>6853648</v>
      </c>
      <c r="G8" s="5">
        <v>26409395</v>
      </c>
      <c r="I8" s="5"/>
      <c r="J8" s="5"/>
      <c r="K8" s="5"/>
      <c r="L8" s="5"/>
      <c r="M8" s="5"/>
      <c r="N8" s="5"/>
    </row>
    <row r="9" spans="1:14" x14ac:dyDescent="0.25">
      <c r="A9" s="4" t="s">
        <v>9</v>
      </c>
      <c r="B9" s="5">
        <v>76021648</v>
      </c>
      <c r="C9" s="5">
        <v>86510773</v>
      </c>
      <c r="D9" s="5">
        <v>103305330</v>
      </c>
      <c r="E9" s="5">
        <v>116675765</v>
      </c>
      <c r="F9" s="5">
        <v>91021150</v>
      </c>
      <c r="G9" s="5">
        <v>76962891</v>
      </c>
      <c r="I9" s="5"/>
      <c r="J9" s="5"/>
      <c r="K9" s="5"/>
      <c r="L9" s="5"/>
      <c r="M9" s="5"/>
      <c r="N9" s="5"/>
    </row>
    <row r="10" spans="1:14" x14ac:dyDescent="0.25">
      <c r="A10" s="4" t="s">
        <v>10</v>
      </c>
      <c r="B10" s="5">
        <v>8760601</v>
      </c>
      <c r="C10" s="5">
        <v>12486633</v>
      </c>
      <c r="D10" s="5">
        <v>10960808</v>
      </c>
      <c r="E10" s="5">
        <v>8739682</v>
      </c>
      <c r="F10" s="5">
        <v>8535795</v>
      </c>
      <c r="G10" s="5">
        <v>7981976</v>
      </c>
      <c r="I10" s="5"/>
      <c r="J10" s="5"/>
      <c r="K10" s="5"/>
      <c r="L10" s="5"/>
      <c r="M10" s="5"/>
      <c r="N10" s="5"/>
    </row>
    <row r="11" spans="1:14" x14ac:dyDescent="0.25">
      <c r="A11" s="4" t="s">
        <v>11</v>
      </c>
      <c r="B11" s="5">
        <v>12812106</v>
      </c>
      <c r="C11" s="5">
        <v>16432360</v>
      </c>
      <c r="D11" s="5">
        <v>10558122</v>
      </c>
      <c r="E11" s="5">
        <v>9898058</v>
      </c>
      <c r="F11" s="5">
        <v>24873571</v>
      </c>
      <c r="G11" s="5">
        <v>25613912</v>
      </c>
      <c r="I11" s="5"/>
      <c r="J11" s="5"/>
      <c r="K11" s="5"/>
      <c r="L11" s="5"/>
      <c r="M11" s="5"/>
      <c r="N11" s="5"/>
    </row>
    <row r="12" spans="1:14" x14ac:dyDescent="0.25">
      <c r="A12" s="4" t="s">
        <v>91</v>
      </c>
      <c r="B12" s="5">
        <v>0</v>
      </c>
      <c r="C12" s="5">
        <v>0</v>
      </c>
      <c r="D12" s="5">
        <v>0</v>
      </c>
      <c r="E12" s="5">
        <v>0</v>
      </c>
      <c r="F12" s="5">
        <v>35699900</v>
      </c>
      <c r="G12" s="5">
        <v>186574</v>
      </c>
      <c r="I12" s="5"/>
      <c r="J12" s="5"/>
      <c r="K12" s="5"/>
      <c r="L12" s="5"/>
      <c r="M12" s="5"/>
      <c r="N12" s="5"/>
    </row>
    <row r="13" spans="1:14" x14ac:dyDescent="0.25">
      <c r="A13" s="4" t="s">
        <v>12</v>
      </c>
      <c r="B13" s="5">
        <v>29347156</v>
      </c>
      <c r="C13" s="5">
        <v>37080774</v>
      </c>
      <c r="D13" s="5">
        <v>59898158</v>
      </c>
      <c r="E13" s="5">
        <v>42144997</v>
      </c>
      <c r="F13" s="5">
        <v>46558101</v>
      </c>
      <c r="G13" s="5">
        <v>32582303</v>
      </c>
      <c r="I13" s="5"/>
      <c r="J13" s="5"/>
      <c r="K13" s="5"/>
      <c r="L13" s="5"/>
      <c r="M13" s="5"/>
      <c r="N13" s="5"/>
    </row>
    <row r="14" spans="1:14" x14ac:dyDescent="0.25">
      <c r="A14" s="6" t="s">
        <v>13</v>
      </c>
      <c r="B14" s="7">
        <f>+SUM(B8:B13)</f>
        <v>129475825</v>
      </c>
      <c r="C14" s="7">
        <f>+SUM(C8:C13)</f>
        <v>158338534</v>
      </c>
      <c r="D14" s="7">
        <f>+SUM(D8:D13)</f>
        <v>221241755</v>
      </c>
      <c r="E14" s="7">
        <f>+SUM(E8:E13)</f>
        <v>182887242</v>
      </c>
      <c r="F14" s="7">
        <f t="shared" ref="F14:G14" si="0">+SUM(F8:F13)</f>
        <v>213542165</v>
      </c>
      <c r="G14" s="7">
        <f t="shared" si="0"/>
        <v>169737051</v>
      </c>
    </row>
    <row r="16" spans="1:14" x14ac:dyDescent="0.25">
      <c r="A16" s="3" t="s">
        <v>14</v>
      </c>
      <c r="B16" s="3"/>
      <c r="C16" s="3"/>
      <c r="D16" s="3"/>
      <c r="E16" s="3"/>
      <c r="F16" s="3"/>
      <c r="G16" s="3"/>
    </row>
    <row r="17" spans="1:14" x14ac:dyDescent="0.25">
      <c r="A17" s="4" t="s">
        <v>15</v>
      </c>
      <c r="B17" s="5">
        <v>3332879</v>
      </c>
      <c r="C17" s="5">
        <v>6046766</v>
      </c>
      <c r="D17" s="5">
        <v>6272288</v>
      </c>
      <c r="E17" s="5">
        <v>37445485</v>
      </c>
      <c r="F17" s="5">
        <v>36051444</v>
      </c>
      <c r="G17" s="5">
        <v>34390367</v>
      </c>
      <c r="I17" s="5"/>
      <c r="J17" s="5"/>
      <c r="K17" s="5"/>
      <c r="L17" s="5"/>
      <c r="M17" s="5"/>
      <c r="N17" s="5"/>
    </row>
    <row r="18" spans="1:14" x14ac:dyDescent="0.25">
      <c r="A18" s="4" t="s">
        <v>92</v>
      </c>
      <c r="B18" s="5">
        <v>9047</v>
      </c>
      <c r="C18" s="5">
        <v>9047</v>
      </c>
      <c r="D18" s="5">
        <v>48610</v>
      </c>
      <c r="E18" s="5">
        <v>48738</v>
      </c>
      <c r="F18" s="5">
        <v>1053386</v>
      </c>
      <c r="G18" s="5">
        <v>43787358</v>
      </c>
      <c r="I18" s="5"/>
      <c r="J18" s="5"/>
      <c r="K18" s="5"/>
      <c r="L18" s="5"/>
      <c r="M18" s="5"/>
      <c r="N18" s="5"/>
    </row>
    <row r="19" spans="1:14" x14ac:dyDescent="0.25">
      <c r="A19" s="4" t="s">
        <v>16</v>
      </c>
      <c r="B19" s="5">
        <v>16118783</v>
      </c>
      <c r="C19" s="5">
        <v>16580104</v>
      </c>
      <c r="D19" s="5">
        <v>25285297</v>
      </c>
      <c r="E19" s="5">
        <v>42789482</v>
      </c>
      <c r="F19" s="5">
        <v>26030768</v>
      </c>
      <c r="G19" s="5">
        <v>25202657</v>
      </c>
      <c r="I19" s="5"/>
      <c r="J19" s="5"/>
      <c r="K19" s="5"/>
      <c r="L19" s="5"/>
      <c r="M19" s="5"/>
      <c r="N19" s="5"/>
    </row>
    <row r="20" spans="1:14" ht="15.75" thickBot="1" x14ac:dyDescent="0.3">
      <c r="A20" s="6" t="s">
        <v>17</v>
      </c>
      <c r="B20" s="7">
        <f>+SUM(B17:B19)</f>
        <v>19460709</v>
      </c>
      <c r="C20" s="7">
        <f>+SUM(C17:C19)</f>
        <v>22635917</v>
      </c>
      <c r="D20" s="7">
        <f t="shared" ref="D20:E20" si="1">+SUM(D17:D19)</f>
        <v>31606195</v>
      </c>
      <c r="E20" s="7">
        <f t="shared" si="1"/>
        <v>80283705</v>
      </c>
      <c r="F20" s="7">
        <f t="shared" ref="F20:G20" si="2">+SUM(F17:F19)</f>
        <v>63135598</v>
      </c>
      <c r="G20" s="7">
        <f t="shared" si="2"/>
        <v>103380382</v>
      </c>
    </row>
    <row r="21" spans="1:14" ht="15.75" thickBot="1" x14ac:dyDescent="0.3">
      <c r="A21" s="8" t="s">
        <v>18</v>
      </c>
      <c r="B21" s="9">
        <f>+B20+B14</f>
        <v>148936534</v>
      </c>
      <c r="C21" s="9">
        <f>+C20+C14</f>
        <v>180974451</v>
      </c>
      <c r="D21" s="9">
        <f t="shared" ref="D21:E21" si="3">+D20+D14</f>
        <v>252847950</v>
      </c>
      <c r="E21" s="9">
        <f t="shared" si="3"/>
        <v>263170947</v>
      </c>
      <c r="F21" s="9">
        <f t="shared" ref="F21:G21" si="4">+F20+F14</f>
        <v>276677763</v>
      </c>
      <c r="G21" s="9">
        <f t="shared" si="4"/>
        <v>273117433</v>
      </c>
    </row>
    <row r="23" spans="1:14" x14ac:dyDescent="0.25">
      <c r="A23" s="10" t="s">
        <v>19</v>
      </c>
      <c r="B23" s="10"/>
      <c r="C23" s="10"/>
      <c r="D23" s="10"/>
      <c r="E23" s="10"/>
      <c r="F23" s="10"/>
      <c r="G23" s="10"/>
    </row>
    <row r="24" spans="1:14" x14ac:dyDescent="0.25">
      <c r="A24" s="3" t="s">
        <v>20</v>
      </c>
      <c r="B24" s="3"/>
      <c r="C24" s="3"/>
      <c r="D24" s="3"/>
      <c r="E24" s="3"/>
      <c r="F24" s="3"/>
      <c r="G24" s="3"/>
    </row>
    <row r="25" spans="1:14" x14ac:dyDescent="0.25">
      <c r="A25" s="4" t="s">
        <v>21</v>
      </c>
      <c r="B25" s="5">
        <v>22595932</v>
      </c>
      <c r="C25" s="5">
        <v>19453613</v>
      </c>
      <c r="D25" s="5">
        <v>20858148</v>
      </c>
      <c r="E25" s="5">
        <v>32350509</v>
      </c>
      <c r="F25" s="5">
        <v>27634777</v>
      </c>
      <c r="G25" s="5">
        <v>17491552</v>
      </c>
      <c r="I25" s="5"/>
      <c r="J25" s="5"/>
      <c r="K25" s="5"/>
      <c r="L25" s="5"/>
      <c r="M25" s="5"/>
      <c r="N25" s="5"/>
    </row>
    <row r="26" spans="1:14" x14ac:dyDescent="0.25">
      <c r="A26" s="4" t="s">
        <v>22</v>
      </c>
      <c r="B26" s="5">
        <v>9332570</v>
      </c>
      <c r="C26" s="5">
        <v>7454548</v>
      </c>
      <c r="D26" s="5">
        <v>8950289</v>
      </c>
      <c r="E26" s="5">
        <v>11600668</v>
      </c>
      <c r="F26" s="5">
        <v>16121144</v>
      </c>
      <c r="G26" s="5">
        <v>11830553</v>
      </c>
      <c r="I26" s="5"/>
      <c r="J26" s="5"/>
      <c r="K26" s="5"/>
      <c r="L26" s="5"/>
      <c r="M26" s="5"/>
      <c r="N26" s="5"/>
    </row>
    <row r="27" spans="1:14" x14ac:dyDescent="0.25">
      <c r="A27" s="4" t="s">
        <v>23</v>
      </c>
      <c r="B27" s="5">
        <v>3945824</v>
      </c>
      <c r="C27" s="5">
        <v>2307011</v>
      </c>
      <c r="D27" s="5">
        <v>2351502</v>
      </c>
      <c r="E27" s="5">
        <v>17297940</v>
      </c>
      <c r="F27" s="5">
        <v>2284463</v>
      </c>
      <c r="G27" s="5">
        <v>4315135</v>
      </c>
      <c r="I27" s="5"/>
      <c r="J27" s="5"/>
      <c r="K27" s="5"/>
      <c r="L27" s="5"/>
      <c r="M27" s="5"/>
      <c r="N27" s="5"/>
    </row>
    <row r="28" spans="1:14" x14ac:dyDescent="0.25">
      <c r="A28" s="4" t="s">
        <v>89</v>
      </c>
      <c r="B28" s="5">
        <v>58963702</v>
      </c>
      <c r="C28" s="5">
        <v>42290367</v>
      </c>
      <c r="D28" s="5">
        <v>89291039</v>
      </c>
      <c r="E28" s="5">
        <v>69229481</v>
      </c>
      <c r="F28" s="5">
        <v>106360550</v>
      </c>
      <c r="G28" s="5">
        <v>60341042</v>
      </c>
      <c r="I28" s="5"/>
      <c r="J28" s="5"/>
      <c r="K28" s="5"/>
      <c r="L28" s="5"/>
      <c r="M28" s="5"/>
      <c r="N28" s="5"/>
    </row>
    <row r="29" spans="1:14" x14ac:dyDescent="0.25">
      <c r="A29" s="6" t="s">
        <v>24</v>
      </c>
      <c r="B29" s="7">
        <f>+SUM(B25:B28)</f>
        <v>94838028</v>
      </c>
      <c r="C29" s="7">
        <f>+SUM(C25:C28)</f>
        <v>71505539</v>
      </c>
      <c r="D29" s="7">
        <f t="shared" ref="D29:G29" si="5">+SUM(D25:D28)</f>
        <v>121450978</v>
      </c>
      <c r="E29" s="7">
        <f t="shared" si="5"/>
        <v>130478598</v>
      </c>
      <c r="F29" s="7">
        <f t="shared" si="5"/>
        <v>152400934</v>
      </c>
      <c r="G29" s="7">
        <f t="shared" si="5"/>
        <v>93978282</v>
      </c>
    </row>
    <row r="31" spans="1:14" x14ac:dyDescent="0.25">
      <c r="A31" s="3" t="s">
        <v>25</v>
      </c>
      <c r="B31" s="3"/>
      <c r="C31" s="3"/>
      <c r="D31" s="3"/>
      <c r="E31" s="3"/>
      <c r="F31" s="3"/>
      <c r="G31" s="3"/>
    </row>
    <row r="32" spans="1:14" x14ac:dyDescent="0.25">
      <c r="A32" s="4" t="s">
        <v>26</v>
      </c>
      <c r="B32" s="5">
        <v>11084327</v>
      </c>
      <c r="C32" s="5">
        <v>18227190</v>
      </c>
      <c r="D32" s="5">
        <v>11295396</v>
      </c>
      <c r="E32" s="5">
        <v>12795354</v>
      </c>
      <c r="F32" s="5">
        <v>5267005</v>
      </c>
      <c r="G32" s="5">
        <v>10132094</v>
      </c>
      <c r="I32" s="5"/>
      <c r="J32" s="5"/>
      <c r="K32" s="5"/>
      <c r="L32" s="5"/>
      <c r="M32" s="5"/>
      <c r="N32" s="5"/>
    </row>
    <row r="33" spans="1:14" x14ac:dyDescent="0.25">
      <c r="A33" s="4" t="s">
        <v>90</v>
      </c>
      <c r="B33" s="5">
        <v>5203036</v>
      </c>
      <c r="C33" s="5">
        <v>34803988</v>
      </c>
      <c r="D33" s="5">
        <v>59730000</v>
      </c>
      <c r="E33" s="5">
        <v>54480000</v>
      </c>
      <c r="F33" s="5">
        <v>42230000</v>
      </c>
      <c r="G33" s="5">
        <v>81586000</v>
      </c>
      <c r="I33" s="5"/>
      <c r="J33" s="5"/>
      <c r="K33" s="5"/>
      <c r="L33" s="5"/>
      <c r="M33" s="5"/>
      <c r="N33" s="5"/>
    </row>
    <row r="34" spans="1:14" x14ac:dyDescent="0.25">
      <c r="A34" s="4" t="s">
        <v>27</v>
      </c>
      <c r="B34" s="5">
        <v>1682639</v>
      </c>
      <c r="C34" s="5">
        <v>2800373</v>
      </c>
      <c r="D34" s="5">
        <v>1544089</v>
      </c>
      <c r="E34" s="5">
        <v>1656625</v>
      </c>
      <c r="F34" s="5">
        <v>1298769</v>
      </c>
      <c r="G34" s="5">
        <v>1262853</v>
      </c>
      <c r="I34" s="5"/>
      <c r="J34" s="5"/>
      <c r="K34" s="5"/>
      <c r="L34" s="5"/>
      <c r="M34" s="5"/>
      <c r="N34" s="5"/>
    </row>
    <row r="35" spans="1:14" ht="15.75" thickBot="1" x14ac:dyDescent="0.3">
      <c r="A35" s="6" t="s">
        <v>28</v>
      </c>
      <c r="B35" s="7">
        <f>+SUM(B32:B34)</f>
        <v>17970002</v>
      </c>
      <c r="C35" s="7">
        <f>+SUM(C32:C34)</f>
        <v>55831551</v>
      </c>
      <c r="D35" s="7">
        <f t="shared" ref="D35:E35" si="6">+SUM(D32:D34)</f>
        <v>72569485</v>
      </c>
      <c r="E35" s="7">
        <f t="shared" si="6"/>
        <v>68931979</v>
      </c>
      <c r="F35" s="7">
        <f t="shared" ref="F35:G35" si="7">+SUM(F32:F34)</f>
        <v>48795774</v>
      </c>
      <c r="G35" s="7">
        <f t="shared" si="7"/>
        <v>92980947</v>
      </c>
    </row>
    <row r="36" spans="1:14" ht="15.75" thickBot="1" x14ac:dyDescent="0.3">
      <c r="A36" s="8" t="s">
        <v>29</v>
      </c>
      <c r="B36" s="9">
        <f>+B35+B29</f>
        <v>112808030</v>
      </c>
      <c r="C36" s="9">
        <f>+C35+C29</f>
        <v>127337090</v>
      </c>
      <c r="D36" s="9">
        <f t="shared" ref="D36:E36" si="8">+D35+D29</f>
        <v>194020463</v>
      </c>
      <c r="E36" s="9">
        <f t="shared" si="8"/>
        <v>199410577</v>
      </c>
      <c r="F36" s="9">
        <f t="shared" ref="F36:G36" si="9">+F35+F29</f>
        <v>201196708</v>
      </c>
      <c r="G36" s="9">
        <f t="shared" si="9"/>
        <v>186959229</v>
      </c>
    </row>
    <row r="38" spans="1:14" x14ac:dyDescent="0.25">
      <c r="A38" s="10" t="s">
        <v>30</v>
      </c>
      <c r="B38" s="10"/>
      <c r="C38" s="10"/>
      <c r="D38" s="10"/>
      <c r="E38" s="10"/>
      <c r="F38" s="10"/>
      <c r="G38" s="10"/>
    </row>
    <row r="39" spans="1:14" x14ac:dyDescent="0.25">
      <c r="A39" s="4" t="s">
        <v>31</v>
      </c>
      <c r="B39" s="5">
        <f>23580000+632000</f>
        <v>24212000</v>
      </c>
      <c r="C39" s="5">
        <v>45280000</v>
      </c>
      <c r="D39" s="5">
        <v>48760000</v>
      </c>
      <c r="E39" s="5">
        <v>53980000</v>
      </c>
      <c r="F39" s="5">
        <v>59500100</v>
      </c>
      <c r="G39" s="5">
        <v>66502000</v>
      </c>
      <c r="I39" s="5"/>
      <c r="J39" s="5"/>
      <c r="K39" s="5"/>
      <c r="L39" s="5"/>
      <c r="M39" s="5"/>
      <c r="N39" s="5"/>
    </row>
    <row r="40" spans="1:14" x14ac:dyDescent="0.25">
      <c r="A40" s="4" t="s">
        <v>32</v>
      </c>
      <c r="B40" s="5">
        <v>644579</v>
      </c>
      <c r="C40" s="5">
        <v>29248</v>
      </c>
      <c r="D40" s="5">
        <v>29248</v>
      </c>
      <c r="E40" s="5">
        <v>29248</v>
      </c>
      <c r="F40" s="5">
        <v>29248</v>
      </c>
      <c r="G40" s="5">
        <v>29248</v>
      </c>
      <c r="I40" s="5"/>
      <c r="J40" s="5"/>
      <c r="K40" s="5"/>
      <c r="L40" s="5"/>
      <c r="M40" s="5"/>
      <c r="N40" s="5"/>
    </row>
    <row r="41" spans="1:14" x14ac:dyDescent="0.25">
      <c r="A41" s="4" t="s">
        <v>33</v>
      </c>
      <c r="B41" s="5">
        <f>1132846+765</f>
        <v>1133611</v>
      </c>
      <c r="C41" s="5">
        <v>1319256</v>
      </c>
      <c r="D41" s="5">
        <v>1669699</v>
      </c>
      <c r="E41" s="5">
        <v>1863751</v>
      </c>
      <c r="F41" s="5">
        <v>1899270</v>
      </c>
      <c r="G41" s="5">
        <v>2259174</v>
      </c>
      <c r="I41" s="5"/>
      <c r="J41" s="5"/>
      <c r="K41" s="5"/>
      <c r="L41" s="5"/>
      <c r="M41" s="5"/>
      <c r="N41" s="5"/>
    </row>
    <row r="42" spans="1:14" x14ac:dyDescent="0.25">
      <c r="A42" s="4" t="s">
        <v>34</v>
      </c>
      <c r="B42" s="5">
        <v>10138314</v>
      </c>
      <c r="C42" s="5">
        <v>7008857</v>
      </c>
      <c r="D42" s="5">
        <v>8368540</v>
      </c>
      <c r="E42" s="5">
        <v>7887371</v>
      </c>
      <c r="F42" s="5">
        <v>14052437</v>
      </c>
      <c r="G42" s="5">
        <v>17367784</v>
      </c>
      <c r="I42" s="5"/>
      <c r="J42" s="5"/>
      <c r="K42" s="5"/>
      <c r="L42" s="5"/>
      <c r="M42" s="5"/>
      <c r="N42" s="5"/>
    </row>
    <row r="43" spans="1:14" ht="15.75" thickBot="1" x14ac:dyDescent="0.3">
      <c r="A43" s="6" t="s">
        <v>35</v>
      </c>
      <c r="B43" s="7">
        <f>+SUM(B39:B42)</f>
        <v>36128504</v>
      </c>
      <c r="C43" s="7">
        <f>+SUM(C39:C42)</f>
        <v>53637361</v>
      </c>
      <c r="D43" s="7">
        <f t="shared" ref="D43:E43" si="10">+SUM(D39:D42)</f>
        <v>58827487</v>
      </c>
      <c r="E43" s="7">
        <f t="shared" si="10"/>
        <v>63760370</v>
      </c>
      <c r="F43" s="7">
        <f t="shared" ref="F43:G43" si="11">+SUM(F39:F42)</f>
        <v>75481055</v>
      </c>
      <c r="G43" s="7">
        <f t="shared" si="11"/>
        <v>86158206</v>
      </c>
    </row>
    <row r="44" spans="1:14" ht="15.75" thickBot="1" x14ac:dyDescent="0.3">
      <c r="A44" s="8" t="s">
        <v>36</v>
      </c>
      <c r="B44" s="9">
        <f>+B43+B36</f>
        <v>148936534</v>
      </c>
      <c r="C44" s="9">
        <f>+C43+C36</f>
        <v>180974451</v>
      </c>
      <c r="D44" s="9">
        <f t="shared" ref="D44:E44" si="12">+D43+D36</f>
        <v>252847950</v>
      </c>
      <c r="E44" s="9">
        <f t="shared" si="12"/>
        <v>263170947</v>
      </c>
      <c r="F44" s="9">
        <f t="shared" ref="F44:G44" si="13">+F43+F36</f>
        <v>276677763</v>
      </c>
      <c r="G44" s="9">
        <f t="shared" si="13"/>
        <v>273117435</v>
      </c>
    </row>
  </sheetData>
  <autoFilter ref="A5:C44" xr:uid="{00000000-0009-0000-0000-000000000000}"/>
  <mergeCells count="6">
    <mergeCell ref="A38:G38"/>
    <mergeCell ref="A1:C1"/>
    <mergeCell ref="A2:C2"/>
    <mergeCell ref="A3:C3"/>
    <mergeCell ref="A6:G6"/>
    <mergeCell ref="A23:G23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1"/>
  <sheetViews>
    <sheetView showGridLines="0" workbookViewId="0">
      <pane ySplit="5" topLeftCell="A20" activePane="bottomLeft" state="frozen"/>
      <selection pane="bottomLeft" activeCell="J22" sqref="J22"/>
    </sheetView>
  </sheetViews>
  <sheetFormatPr baseColWidth="10" defaultColWidth="9.140625" defaultRowHeight="15" x14ac:dyDescent="0.25"/>
  <cols>
    <col min="1" max="1" width="44.7109375" customWidth="1"/>
    <col min="2" max="7" width="16.7109375" customWidth="1"/>
  </cols>
  <sheetData>
    <row r="1" spans="1:18" ht="15.75" x14ac:dyDescent="0.25">
      <c r="A1" s="11"/>
      <c r="B1" s="11"/>
      <c r="C1" s="11"/>
      <c r="D1" s="11"/>
      <c r="E1" s="11"/>
      <c r="F1" s="11"/>
      <c r="G1" s="11"/>
    </row>
    <row r="2" spans="1:18" ht="15.75" x14ac:dyDescent="0.25">
      <c r="A2" s="11" t="s">
        <v>37</v>
      </c>
      <c r="B2" s="11"/>
      <c r="C2" s="11"/>
      <c r="D2" s="11"/>
      <c r="E2" s="11"/>
      <c r="F2" s="11"/>
      <c r="G2" s="11"/>
    </row>
    <row r="3" spans="1:18" x14ac:dyDescent="0.25">
      <c r="A3" s="12" t="s">
        <v>1</v>
      </c>
      <c r="B3" s="12"/>
      <c r="C3" s="12"/>
      <c r="D3" s="12"/>
      <c r="E3" s="12"/>
      <c r="F3" s="12"/>
      <c r="G3" s="12"/>
    </row>
    <row r="4" spans="1:18" x14ac:dyDescent="0.25">
      <c r="B4" s="1">
        <v>2020</v>
      </c>
      <c r="C4" s="1">
        <v>2021</v>
      </c>
      <c r="D4" s="1">
        <v>2022</v>
      </c>
      <c r="E4" s="1">
        <v>2023</v>
      </c>
      <c r="F4" s="1">
        <v>2024</v>
      </c>
      <c r="G4" s="1">
        <v>2025</v>
      </c>
    </row>
    <row r="5" spans="1:18" x14ac:dyDescent="0.25">
      <c r="A5" s="2" t="s">
        <v>4</v>
      </c>
      <c r="B5" s="1" t="s">
        <v>5</v>
      </c>
      <c r="C5" s="1" t="s">
        <v>5</v>
      </c>
      <c r="D5" s="1" t="s">
        <v>5</v>
      </c>
      <c r="E5" s="1" t="s">
        <v>5</v>
      </c>
      <c r="F5" s="1" t="s">
        <v>5</v>
      </c>
      <c r="G5" s="1" t="s">
        <v>5</v>
      </c>
    </row>
    <row r="6" spans="1:18" x14ac:dyDescent="0.25">
      <c r="A6" s="10" t="s">
        <v>38</v>
      </c>
      <c r="B6" s="10"/>
      <c r="C6" s="10"/>
      <c r="D6" s="10"/>
      <c r="E6" s="10"/>
      <c r="F6" s="10"/>
      <c r="G6" s="10"/>
    </row>
    <row r="7" spans="1:18" x14ac:dyDescent="0.25">
      <c r="A7" s="3" t="s">
        <v>39</v>
      </c>
      <c r="B7" s="3"/>
      <c r="C7" s="3"/>
      <c r="D7" s="3"/>
      <c r="E7" s="3"/>
      <c r="F7" s="3"/>
      <c r="G7" s="3"/>
    </row>
    <row r="8" spans="1:18" x14ac:dyDescent="0.25">
      <c r="A8" s="4" t="s">
        <v>40</v>
      </c>
      <c r="B8" s="5">
        <v>99565057</v>
      </c>
      <c r="C8" s="5">
        <v>139902678</v>
      </c>
      <c r="D8" s="5">
        <v>147144175</v>
      </c>
      <c r="E8" s="5">
        <v>164026944</v>
      </c>
      <c r="F8" s="5">
        <v>135080664</v>
      </c>
      <c r="G8" s="5">
        <v>135783249</v>
      </c>
      <c r="Q8" s="5"/>
      <c r="R8" s="5"/>
    </row>
    <row r="9" spans="1:18" x14ac:dyDescent="0.25">
      <c r="A9" s="4" t="s">
        <v>41</v>
      </c>
      <c r="B9" s="5">
        <v>2733726</v>
      </c>
      <c r="C9" s="5">
        <v>4806462</v>
      </c>
      <c r="D9" s="5">
        <v>5428748</v>
      </c>
      <c r="E9" s="5">
        <v>8842956</v>
      </c>
      <c r="F9" s="5">
        <v>8336550</v>
      </c>
      <c r="G9" s="5">
        <v>8335489</v>
      </c>
      <c r="Q9" s="5"/>
      <c r="R9" s="5"/>
    </row>
    <row r="10" spans="1:18" x14ac:dyDescent="0.25">
      <c r="A10" s="6" t="s">
        <v>42</v>
      </c>
      <c r="B10" s="7">
        <f>+SUM(B8:B9)</f>
        <v>102298783</v>
      </c>
      <c r="C10" s="7">
        <f t="shared" ref="C10:F10" si="0">+SUM(C8:C9)</f>
        <v>144709140</v>
      </c>
      <c r="D10" s="7">
        <f t="shared" si="0"/>
        <v>152572923</v>
      </c>
      <c r="E10" s="7">
        <f t="shared" si="0"/>
        <v>172869900</v>
      </c>
      <c r="F10" s="7">
        <f t="shared" si="0"/>
        <v>143417214</v>
      </c>
      <c r="G10" s="7">
        <f>+SUM(G8:G9)</f>
        <v>144118738</v>
      </c>
    </row>
    <row r="11" spans="1:18" x14ac:dyDescent="0.25">
      <c r="A11" s="3" t="s">
        <v>43</v>
      </c>
      <c r="B11" s="3"/>
      <c r="C11" s="3"/>
      <c r="D11" s="3"/>
      <c r="E11" s="3"/>
      <c r="F11" s="3"/>
      <c r="G11" s="3"/>
    </row>
    <row r="12" spans="1:18" x14ac:dyDescent="0.25">
      <c r="A12" s="4" t="s">
        <v>44</v>
      </c>
      <c r="B12" s="5">
        <v>-59817792</v>
      </c>
      <c r="C12" s="5">
        <v>-87146166</v>
      </c>
      <c r="D12" s="5">
        <v>-92444629</v>
      </c>
      <c r="E12" s="5">
        <v>-105629070</v>
      </c>
      <c r="F12" s="5">
        <v>-83321247</v>
      </c>
      <c r="G12" s="5">
        <v>-83808099</v>
      </c>
      <c r="Q12" s="5"/>
      <c r="R12" s="5"/>
    </row>
    <row r="13" spans="1:18" x14ac:dyDescent="0.25">
      <c r="A13" s="4" t="s">
        <v>45</v>
      </c>
      <c r="B13" s="5">
        <v>-1739546</v>
      </c>
      <c r="C13" s="5">
        <v>-2701969</v>
      </c>
      <c r="D13" s="5">
        <v>-2828095</v>
      </c>
      <c r="E13" s="5">
        <v>-3719600</v>
      </c>
      <c r="F13" s="5">
        <v>-1916200</v>
      </c>
      <c r="G13" s="5">
        <v>-1143212</v>
      </c>
      <c r="Q13" s="5"/>
      <c r="R13" s="5"/>
    </row>
    <row r="14" spans="1:18" ht="15.75" thickBot="1" x14ac:dyDescent="0.3">
      <c r="A14" s="6" t="s">
        <v>46</v>
      </c>
      <c r="B14" s="7">
        <f>+SUM(B12:B13)</f>
        <v>-61557338</v>
      </c>
      <c r="C14" s="7">
        <f t="shared" ref="C14:F14" si="1">+SUM(C12:C13)</f>
        <v>-89848135</v>
      </c>
      <c r="D14" s="7">
        <f t="shared" si="1"/>
        <v>-95272724</v>
      </c>
      <c r="E14" s="7">
        <f t="shared" si="1"/>
        <v>-109348670</v>
      </c>
      <c r="F14" s="7">
        <f t="shared" si="1"/>
        <v>-85237447</v>
      </c>
      <c r="G14" s="7">
        <f>+SUM(G12:G13)</f>
        <v>-84951311</v>
      </c>
    </row>
    <row r="15" spans="1:18" x14ac:dyDescent="0.25">
      <c r="A15" s="8" t="s">
        <v>47</v>
      </c>
      <c r="B15" s="9">
        <f>+SUM(B10+B14)</f>
        <v>40741445</v>
      </c>
      <c r="C15" s="9">
        <f t="shared" ref="C15:F15" si="2">+SUM(C10+C14)</f>
        <v>54861005</v>
      </c>
      <c r="D15" s="9">
        <f t="shared" si="2"/>
        <v>57300199</v>
      </c>
      <c r="E15" s="9">
        <f t="shared" si="2"/>
        <v>63521230</v>
      </c>
      <c r="F15" s="9">
        <f t="shared" si="2"/>
        <v>58179767</v>
      </c>
      <c r="G15" s="9">
        <f>+SUM(G10+G14)</f>
        <v>59167427</v>
      </c>
    </row>
    <row r="16" spans="1:18" x14ac:dyDescent="0.25">
      <c r="A16" s="10" t="s">
        <v>48</v>
      </c>
      <c r="B16" s="10"/>
      <c r="C16" s="10"/>
      <c r="D16" s="10"/>
      <c r="E16" s="10"/>
      <c r="F16" s="10"/>
      <c r="G16" s="10"/>
    </row>
    <row r="17" spans="1:18" x14ac:dyDescent="0.25">
      <c r="A17" s="3" t="s">
        <v>49</v>
      </c>
      <c r="B17" s="3"/>
      <c r="C17" s="3"/>
      <c r="D17" s="3"/>
      <c r="E17" s="3"/>
      <c r="F17" s="3"/>
      <c r="G17" s="3"/>
    </row>
    <row r="18" spans="1:18" x14ac:dyDescent="0.25">
      <c r="A18" s="4" t="s">
        <v>50</v>
      </c>
      <c r="B18" s="5">
        <v>-8006716</v>
      </c>
      <c r="C18" s="5">
        <v>-11536966</v>
      </c>
      <c r="D18" s="5">
        <v>-11644120</v>
      </c>
      <c r="E18" s="5">
        <v>-11478448</v>
      </c>
      <c r="F18" s="5">
        <v>-6912783</v>
      </c>
      <c r="G18" s="5">
        <v>-6201842</v>
      </c>
      <c r="Q18" s="5"/>
      <c r="R18" s="5"/>
    </row>
    <row r="19" spans="1:18" x14ac:dyDescent="0.25">
      <c r="A19" s="4" t="s">
        <v>51</v>
      </c>
      <c r="B19" s="5">
        <v>-13599052</v>
      </c>
      <c r="C19" s="5">
        <v>-18552602</v>
      </c>
      <c r="D19" s="5">
        <v>-20337926</v>
      </c>
      <c r="E19" s="5">
        <v>-22484049</v>
      </c>
      <c r="F19" s="5">
        <v>-22273211</v>
      </c>
      <c r="G19" s="5">
        <v>-20388816</v>
      </c>
      <c r="Q19" s="5"/>
      <c r="R19" s="5"/>
    </row>
    <row r="20" spans="1:18" x14ac:dyDescent="0.25">
      <c r="A20" s="4" t="s">
        <v>52</v>
      </c>
      <c r="B20" s="5">
        <v>-4527812</v>
      </c>
      <c r="C20" s="5">
        <v>-6654549</v>
      </c>
      <c r="D20" s="5">
        <v>-7225259</v>
      </c>
      <c r="E20" s="5">
        <v>-8121429</v>
      </c>
      <c r="F20" s="5">
        <v>-2210297</v>
      </c>
      <c r="G20" s="5">
        <v>-2979991</v>
      </c>
      <c r="Q20" s="5"/>
      <c r="R20" s="5"/>
    </row>
    <row r="21" spans="1:18" x14ac:dyDescent="0.25">
      <c r="A21" s="4" t="s">
        <v>53</v>
      </c>
      <c r="B21" s="5">
        <v>-2472976</v>
      </c>
      <c r="C21" s="5">
        <v>-2949497</v>
      </c>
      <c r="D21" s="5">
        <v>-2834047</v>
      </c>
      <c r="E21" s="5">
        <v>-3896056</v>
      </c>
      <c r="F21" s="5">
        <v>-6574700</v>
      </c>
      <c r="G21" s="5">
        <v>-4991609</v>
      </c>
      <c r="Q21" s="5"/>
      <c r="R21" s="5"/>
    </row>
    <row r="22" spans="1:18" x14ac:dyDescent="0.25">
      <c r="A22" s="4" t="s">
        <v>54</v>
      </c>
      <c r="B22" s="5">
        <v>-2761733</v>
      </c>
      <c r="C22" s="5">
        <v>-2065567</v>
      </c>
      <c r="D22" s="5">
        <v>-3347202</v>
      </c>
      <c r="E22" s="5">
        <v>-5384316</v>
      </c>
      <c r="F22" s="5">
        <v>-4060000</v>
      </c>
      <c r="G22" s="5">
        <v>-3812674</v>
      </c>
      <c r="Q22" s="5"/>
      <c r="R22" s="5"/>
    </row>
    <row r="23" spans="1:18" ht="15.75" thickBot="1" x14ac:dyDescent="0.3">
      <c r="A23" s="6" t="s">
        <v>55</v>
      </c>
      <c r="B23" s="7">
        <f t="shared" ref="B23:G23" si="3">+SUM(B18:B22)</f>
        <v>-31368289</v>
      </c>
      <c r="C23" s="7">
        <f t="shared" si="3"/>
        <v>-41759181</v>
      </c>
      <c r="D23" s="7">
        <f t="shared" si="3"/>
        <v>-45388554</v>
      </c>
      <c r="E23" s="7">
        <f t="shared" si="3"/>
        <v>-51364298</v>
      </c>
      <c r="F23" s="7">
        <f t="shared" si="3"/>
        <v>-42030991</v>
      </c>
      <c r="G23" s="7">
        <f t="shared" si="3"/>
        <v>-38374932</v>
      </c>
    </row>
    <row r="24" spans="1:18" ht="15.75" thickBot="1" x14ac:dyDescent="0.3">
      <c r="A24" s="8" t="s">
        <v>56</v>
      </c>
      <c r="B24" s="9">
        <f t="shared" ref="B24:G24" si="4">+B15+B23</f>
        <v>9373156</v>
      </c>
      <c r="C24" s="9">
        <f t="shared" si="4"/>
        <v>13101824</v>
      </c>
      <c r="D24" s="9">
        <f t="shared" si="4"/>
        <v>11911645</v>
      </c>
      <c r="E24" s="9">
        <f t="shared" si="4"/>
        <v>12156932</v>
      </c>
      <c r="F24" s="9">
        <f t="shared" si="4"/>
        <v>16148776</v>
      </c>
      <c r="G24" s="9">
        <f t="shared" si="4"/>
        <v>20792495</v>
      </c>
    </row>
    <row r="25" spans="1:18" x14ac:dyDescent="0.25">
      <c r="A25" s="10" t="s">
        <v>57</v>
      </c>
      <c r="B25" s="10"/>
      <c r="C25" s="10"/>
      <c r="D25" s="10"/>
      <c r="E25" s="10"/>
      <c r="F25" s="10"/>
      <c r="G25" s="10"/>
    </row>
    <row r="26" spans="1:18" x14ac:dyDescent="0.25">
      <c r="A26" s="4" t="s">
        <v>94</v>
      </c>
      <c r="B26" s="5">
        <v>-5195453</v>
      </c>
      <c r="C26" s="5">
        <v>-5546699</v>
      </c>
      <c r="D26" s="5">
        <v>-7953761</v>
      </c>
      <c r="E26" s="5">
        <v>-10098654</v>
      </c>
      <c r="F26" s="5">
        <v>-12478520</v>
      </c>
      <c r="G26" s="5">
        <v>-14321701</v>
      </c>
      <c r="Q26" s="5"/>
      <c r="R26" s="5"/>
    </row>
    <row r="27" spans="1:18" x14ac:dyDescent="0.25">
      <c r="A27" s="4" t="s">
        <v>58</v>
      </c>
      <c r="B27" s="5">
        <v>-468776</v>
      </c>
      <c r="C27" s="5">
        <v>-235915</v>
      </c>
      <c r="D27" s="5">
        <v>-297317</v>
      </c>
      <c r="E27" s="5">
        <v>-1624657</v>
      </c>
      <c r="F27" s="5">
        <v>10308440</v>
      </c>
      <c r="G27" s="5">
        <v>2963224</v>
      </c>
      <c r="Q27" s="5"/>
      <c r="R27" s="5"/>
    </row>
    <row r="28" spans="1:18" x14ac:dyDescent="0.25">
      <c r="A28" s="4" t="s">
        <v>59</v>
      </c>
      <c r="B28" s="5">
        <v>0</v>
      </c>
      <c r="C28" s="5">
        <v>0</v>
      </c>
      <c r="D28" s="5">
        <v>0</v>
      </c>
      <c r="E28" s="5">
        <v>0</v>
      </c>
      <c r="F28" s="5">
        <v>-2983023</v>
      </c>
      <c r="G28" s="5">
        <v>-2235812</v>
      </c>
      <c r="Q28" s="5"/>
      <c r="R28" s="5"/>
    </row>
    <row r="29" spans="1:18" x14ac:dyDescent="0.25">
      <c r="A29" s="4" t="s">
        <v>60</v>
      </c>
      <c r="B29" s="5">
        <v>-42441</v>
      </c>
      <c r="C29" s="5">
        <v>-310353</v>
      </c>
      <c r="D29" s="5">
        <v>220470</v>
      </c>
      <c r="E29" s="5">
        <v>276762</v>
      </c>
      <c r="F29" s="5">
        <v>-3797589</v>
      </c>
      <c r="G29" s="5">
        <v>-3522957</v>
      </c>
      <c r="Q29" s="5"/>
      <c r="R29" s="5"/>
    </row>
    <row r="30" spans="1:18" ht="15.75" thickBot="1" x14ac:dyDescent="0.3">
      <c r="A30" s="4" t="s">
        <v>93</v>
      </c>
      <c r="B30" s="5">
        <v>61709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Q30" s="5"/>
      <c r="R30" s="5"/>
    </row>
    <row r="31" spans="1:18" ht="15.75" thickBot="1" x14ac:dyDescent="0.3">
      <c r="A31" s="8" t="s">
        <v>61</v>
      </c>
      <c r="B31" s="9">
        <f>+B24+SUM(B26:B30)</f>
        <v>3728195</v>
      </c>
      <c r="C31" s="9">
        <f t="shared" ref="C31:E31" si="5">+C24+SUM(C26:C30)</f>
        <v>7008857</v>
      </c>
      <c r="D31" s="9">
        <f t="shared" si="5"/>
        <v>3881037</v>
      </c>
      <c r="E31" s="9">
        <f t="shared" si="5"/>
        <v>710383</v>
      </c>
      <c r="F31" s="9">
        <f>+F24+SUM(F26:F30)</f>
        <v>7198084</v>
      </c>
      <c r="G31" s="9">
        <f>+G24+SUM(G26:G30)</f>
        <v>3675249</v>
      </c>
    </row>
  </sheetData>
  <autoFilter ref="A5:G31" xr:uid="{00000000-0009-0000-0000-000001000000}"/>
  <mergeCells count="6">
    <mergeCell ref="A25:G25"/>
    <mergeCell ref="A1:G1"/>
    <mergeCell ref="A2:G2"/>
    <mergeCell ref="A3:G3"/>
    <mergeCell ref="A6:G6"/>
    <mergeCell ref="A16:G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8"/>
  <sheetViews>
    <sheetView showGridLines="0" tabSelected="1" workbookViewId="0">
      <pane ySplit="5" topLeftCell="A6" activePane="bottomLeft" state="frozen"/>
      <selection pane="bottomLeft" activeCell="I11" sqref="I11"/>
    </sheetView>
  </sheetViews>
  <sheetFormatPr baseColWidth="10" defaultColWidth="9.140625" defaultRowHeight="15" x14ac:dyDescent="0.25"/>
  <cols>
    <col min="1" max="1" width="44.7109375" customWidth="1"/>
    <col min="2" max="2" width="16.7109375" customWidth="1"/>
    <col min="3" max="3" width="10.7109375" bestFit="1" customWidth="1"/>
    <col min="4" max="7" width="11.5703125" bestFit="1" customWidth="1"/>
  </cols>
  <sheetData>
    <row r="1" spans="1:7" ht="15.75" x14ac:dyDescent="0.25">
      <c r="A1" s="28"/>
      <c r="B1" s="28"/>
    </row>
    <row r="2" spans="1:7" ht="15.75" x14ac:dyDescent="0.25">
      <c r="A2" s="28" t="s">
        <v>62</v>
      </c>
      <c r="B2" s="28"/>
    </row>
    <row r="3" spans="1:7" x14ac:dyDescent="0.25">
      <c r="A3" s="29" t="s">
        <v>1</v>
      </c>
      <c r="B3" s="29"/>
    </row>
    <row r="4" spans="1:7" ht="15.75" thickBot="1" x14ac:dyDescent="0.3">
      <c r="B4" s="16">
        <v>2020</v>
      </c>
      <c r="C4" s="16">
        <v>2021</v>
      </c>
      <c r="D4" s="16">
        <v>2022</v>
      </c>
      <c r="E4" s="16">
        <v>2023</v>
      </c>
      <c r="F4" s="1" t="s">
        <v>3</v>
      </c>
      <c r="G4" s="1" t="s">
        <v>2</v>
      </c>
    </row>
    <row r="5" spans="1:7" ht="15.75" thickBot="1" x14ac:dyDescent="0.3">
      <c r="A5" s="2" t="s">
        <v>4</v>
      </c>
      <c r="B5" s="17" t="s">
        <v>5</v>
      </c>
      <c r="C5" s="17" t="s">
        <v>5</v>
      </c>
      <c r="D5" s="17" t="s">
        <v>5</v>
      </c>
      <c r="E5" s="17" t="s">
        <v>5</v>
      </c>
      <c r="F5" s="1" t="s">
        <v>5</v>
      </c>
      <c r="G5" s="1" t="s">
        <v>5</v>
      </c>
    </row>
    <row r="6" spans="1:7" x14ac:dyDescent="0.25">
      <c r="A6" s="18" t="s">
        <v>63</v>
      </c>
      <c r="B6" s="18"/>
      <c r="C6" s="18"/>
      <c r="D6" s="18"/>
      <c r="E6" s="18"/>
      <c r="F6" s="18"/>
      <c r="G6" s="18"/>
    </row>
    <row r="7" spans="1:7" x14ac:dyDescent="0.25">
      <c r="A7" s="4" t="s">
        <v>64</v>
      </c>
      <c r="B7" s="19">
        <v>3728195</v>
      </c>
      <c r="C7" s="19">
        <v>7008857</v>
      </c>
      <c r="D7" s="19">
        <v>3881037</v>
      </c>
      <c r="E7" s="19">
        <v>710383</v>
      </c>
      <c r="F7" s="5">
        <v>7198085</v>
      </c>
      <c r="G7" s="5">
        <v>3675250</v>
      </c>
    </row>
    <row r="8" spans="1:7" x14ac:dyDescent="0.25">
      <c r="A8" s="3" t="s">
        <v>65</v>
      </c>
      <c r="B8" s="3"/>
      <c r="C8" s="3"/>
      <c r="D8" s="3"/>
      <c r="E8" s="3"/>
      <c r="F8" s="3"/>
      <c r="G8" s="3"/>
    </row>
    <row r="9" spans="1:7" x14ac:dyDescent="0.25">
      <c r="A9" s="4" t="s">
        <v>66</v>
      </c>
      <c r="B9" s="19">
        <v>140099</v>
      </c>
      <c r="C9" s="19">
        <v>1914286</v>
      </c>
      <c r="D9" s="20">
        <v>0</v>
      </c>
      <c r="E9" s="19">
        <v>1040266</v>
      </c>
      <c r="F9" s="5">
        <v>815564</v>
      </c>
      <c r="G9" s="5">
        <v>618203</v>
      </c>
    </row>
    <row r="10" spans="1:7" x14ac:dyDescent="0.25">
      <c r="A10" s="4" t="s">
        <v>67</v>
      </c>
      <c r="B10" s="21">
        <v>2472976</v>
      </c>
      <c r="C10" s="21">
        <v>4173694</v>
      </c>
      <c r="D10" s="21">
        <v>4365434</v>
      </c>
      <c r="E10" s="21">
        <v>3896056</v>
      </c>
      <c r="F10" s="5">
        <v>6574700</v>
      </c>
      <c r="G10" s="5">
        <v>4991609</v>
      </c>
    </row>
    <row r="11" spans="1:7" x14ac:dyDescent="0.25">
      <c r="A11" s="4" t="s">
        <v>69</v>
      </c>
      <c r="B11" s="19">
        <v>2761733</v>
      </c>
      <c r="C11" s="19">
        <v>2065567</v>
      </c>
      <c r="D11" s="19">
        <v>3347202</v>
      </c>
      <c r="E11" s="19">
        <v>5384316</v>
      </c>
      <c r="F11" s="5">
        <v>4060000</v>
      </c>
      <c r="G11" s="5">
        <v>3812674</v>
      </c>
    </row>
    <row r="12" spans="1:7" x14ac:dyDescent="0.25">
      <c r="A12" s="4" t="s">
        <v>68</v>
      </c>
      <c r="B12" s="21">
        <v>4374814</v>
      </c>
      <c r="C12" s="21">
        <v>4762584</v>
      </c>
      <c r="D12" s="21">
        <v>7719528</v>
      </c>
      <c r="E12" s="21">
        <v>1920073</v>
      </c>
      <c r="F12" s="5">
        <v>2940116</v>
      </c>
      <c r="G12" s="5">
        <v>2045003</v>
      </c>
    </row>
    <row r="13" spans="1:7" x14ac:dyDescent="0.25">
      <c r="A13" s="15" t="s">
        <v>95</v>
      </c>
      <c r="B13" s="19">
        <v>504035</v>
      </c>
      <c r="C13" s="19">
        <v>128564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5" t="s">
        <v>96</v>
      </c>
      <c r="B14" s="22">
        <v>-644900</v>
      </c>
      <c r="C14" s="14">
        <v>0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5" t="s">
        <v>97</v>
      </c>
      <c r="B15">
        <v>0</v>
      </c>
      <c r="C15" s="14">
        <v>0</v>
      </c>
      <c r="D15" s="22">
        <v>-1173411</v>
      </c>
      <c r="E15">
        <v>0</v>
      </c>
      <c r="F15">
        <v>0</v>
      </c>
      <c r="G15">
        <v>0</v>
      </c>
    </row>
    <row r="16" spans="1:7" x14ac:dyDescent="0.25">
      <c r="A16" s="6"/>
      <c r="B16" s="7">
        <f>+SUM(B9:B15)+B7</f>
        <v>13336952</v>
      </c>
      <c r="C16" s="7">
        <f>+SUM(C9:C15)+C7</f>
        <v>20053552</v>
      </c>
      <c r="D16" s="7">
        <f>+SUM(D9:D15)+D7</f>
        <v>18139790</v>
      </c>
      <c r="E16" s="7">
        <f t="shared" ref="E16" si="0">+SUM(E9:E15)+E7</f>
        <v>12951094</v>
      </c>
      <c r="F16" s="7">
        <f>+SUM(F9:F15)+F7</f>
        <v>21588465</v>
      </c>
      <c r="G16" s="7">
        <f>+SUM(G9:G15)+G7</f>
        <v>15142739</v>
      </c>
    </row>
    <row r="17" spans="1:7" x14ac:dyDescent="0.25">
      <c r="A17" s="3" t="s">
        <v>70</v>
      </c>
      <c r="B17" s="3"/>
      <c r="C17" s="3"/>
      <c r="D17" s="3"/>
      <c r="E17" s="3"/>
      <c r="F17" s="3"/>
      <c r="G17" s="3"/>
    </row>
    <row r="18" spans="1:7" x14ac:dyDescent="0.25">
      <c r="A18" s="4" t="s">
        <v>71</v>
      </c>
      <c r="B18" s="22">
        <v>-2870946</v>
      </c>
      <c r="C18" s="22">
        <v>-12554692</v>
      </c>
      <c r="D18" s="22">
        <v>-20141759</v>
      </c>
      <c r="E18" s="22">
        <v>-18754751</v>
      </c>
      <c r="F18" s="5">
        <v>21594615</v>
      </c>
      <c r="G18" s="5">
        <v>10245585</v>
      </c>
    </row>
    <row r="19" spans="1:7" x14ac:dyDescent="0.25">
      <c r="A19" s="4" t="s">
        <v>72</v>
      </c>
      <c r="B19" s="21">
        <v>-5769177</v>
      </c>
      <c r="C19" s="21">
        <v>-7346286</v>
      </c>
      <c r="D19" s="21">
        <v>7400063</v>
      </c>
      <c r="E19" s="21">
        <v>5789187</v>
      </c>
      <c r="F19" s="5">
        <v>-14771627</v>
      </c>
      <c r="G19" s="5">
        <v>-186522</v>
      </c>
    </row>
    <row r="20" spans="1:7" x14ac:dyDescent="0.25">
      <c r="A20" s="4" t="s">
        <v>73</v>
      </c>
      <c r="B20" s="22">
        <v>-986877</v>
      </c>
      <c r="C20" s="22">
        <v>-7733618</v>
      </c>
      <c r="D20" s="22">
        <v>-22817384</v>
      </c>
      <c r="E20" s="19">
        <v>17753161</v>
      </c>
      <c r="F20" s="5">
        <v>-4413104</v>
      </c>
      <c r="G20" s="5">
        <v>13975798</v>
      </c>
    </row>
    <row r="21" spans="1:7" x14ac:dyDescent="0.25">
      <c r="A21" s="4" t="s">
        <v>98</v>
      </c>
      <c r="B21" s="22">
        <v>-13660364</v>
      </c>
      <c r="C21" s="22">
        <v>-3142320</v>
      </c>
      <c r="D21" s="19">
        <v>1404535</v>
      </c>
      <c r="E21" s="19">
        <v>11492361</v>
      </c>
      <c r="F21" s="5">
        <v>-4715732</v>
      </c>
      <c r="G21" s="5">
        <v>-10143226</v>
      </c>
    </row>
    <row r="22" spans="1:7" x14ac:dyDescent="0.25">
      <c r="A22" s="4" t="s">
        <v>74</v>
      </c>
      <c r="B22" s="19">
        <v>3159766</v>
      </c>
      <c r="C22" s="19">
        <v>5264841</v>
      </c>
      <c r="D22" s="22">
        <v>-5436053</v>
      </c>
      <c r="E22" s="19">
        <v>1242340</v>
      </c>
      <c r="F22" s="5">
        <v>-3007873</v>
      </c>
      <c r="G22" s="5">
        <v>574497</v>
      </c>
    </row>
    <row r="23" spans="1:7" x14ac:dyDescent="0.25">
      <c r="A23" s="15" t="s">
        <v>99</v>
      </c>
      <c r="B23" s="20">
        <v>109</v>
      </c>
      <c r="C23" s="24">
        <v>0</v>
      </c>
      <c r="D23" s="22">
        <v>-39561</v>
      </c>
      <c r="E23" s="23">
        <v>-128</v>
      </c>
      <c r="F23" s="24">
        <v>0</v>
      </c>
      <c r="G23" s="24">
        <v>0</v>
      </c>
    </row>
    <row r="24" spans="1:7" x14ac:dyDescent="0.25">
      <c r="A24" s="4" t="s">
        <v>100</v>
      </c>
      <c r="B24" s="19">
        <v>1735716</v>
      </c>
      <c r="C24" s="22">
        <v>-1638813</v>
      </c>
      <c r="D24" s="19">
        <v>44491</v>
      </c>
      <c r="E24" s="19">
        <v>14946438</v>
      </c>
      <c r="F24" s="5">
        <v>-15013477</v>
      </c>
      <c r="G24" s="5">
        <v>2030672</v>
      </c>
    </row>
    <row r="25" spans="1:7" ht="15.75" thickBot="1" x14ac:dyDescent="0.3">
      <c r="A25" s="4" t="s">
        <v>75</v>
      </c>
      <c r="B25" s="22">
        <v>-488131</v>
      </c>
      <c r="C25" s="22">
        <v>-796550</v>
      </c>
      <c r="D25" s="22">
        <v>-1256283</v>
      </c>
      <c r="E25" s="22">
        <v>-927731</v>
      </c>
      <c r="F25" s="5">
        <v>-1173420</v>
      </c>
      <c r="G25" s="5">
        <v>-654118</v>
      </c>
    </row>
    <row r="26" spans="1:7" ht="15.75" thickBot="1" x14ac:dyDescent="0.3">
      <c r="A26" s="8" t="s">
        <v>76</v>
      </c>
      <c r="B26" s="9">
        <f>+SUM(B18:B25)+B16</f>
        <v>-5542952</v>
      </c>
      <c r="C26" s="9">
        <f>+SUM(C18:C25)+C16</f>
        <v>-7893886</v>
      </c>
      <c r="D26" s="9">
        <f>+SUM(D18:D25)+D16</f>
        <v>-22702161</v>
      </c>
      <c r="E26" s="9">
        <f t="shared" ref="E26" si="1">+SUM(E18:E25)+E16</f>
        <v>44491971</v>
      </c>
      <c r="F26" s="9">
        <f>+SUM(F18:F25)+F16</f>
        <v>87847</v>
      </c>
      <c r="G26" s="9">
        <f>+SUM(G18:G25)+G16</f>
        <v>30985425</v>
      </c>
    </row>
    <row r="27" spans="1:7" x14ac:dyDescent="0.25">
      <c r="A27" s="18" t="s">
        <v>77</v>
      </c>
      <c r="B27" s="18"/>
      <c r="C27" s="18"/>
      <c r="D27" s="18"/>
      <c r="E27" s="18"/>
      <c r="F27" s="18"/>
      <c r="G27" s="18"/>
    </row>
    <row r="28" spans="1:7" x14ac:dyDescent="0.25">
      <c r="A28" s="4" t="s">
        <v>78</v>
      </c>
      <c r="B28" s="21">
        <v>-6209500</v>
      </c>
      <c r="C28" s="21">
        <v>-7477467</v>
      </c>
      <c r="D28" s="21">
        <v>-13668486</v>
      </c>
      <c r="E28" s="21">
        <v>-55020668</v>
      </c>
      <c r="F28" s="5">
        <v>-5180657</v>
      </c>
      <c r="G28" s="5">
        <v>-3330532</v>
      </c>
    </row>
    <row r="29" spans="1:7" ht="15.75" thickBot="1" x14ac:dyDescent="0.3">
      <c r="A29" s="4" t="s">
        <v>79</v>
      </c>
      <c r="B29" s="14">
        <v>0</v>
      </c>
      <c r="C29" s="14">
        <v>0</v>
      </c>
      <c r="D29" s="21">
        <v>372335</v>
      </c>
      <c r="E29" s="21">
        <v>2447230</v>
      </c>
      <c r="F29" s="5">
        <v>-19945834</v>
      </c>
      <c r="G29" s="5">
        <v>-6392535</v>
      </c>
    </row>
    <row r="30" spans="1:7" ht="15.75" thickBot="1" x14ac:dyDescent="0.3">
      <c r="A30" s="8" t="s">
        <v>80</v>
      </c>
      <c r="B30" s="9">
        <f>+B28+B29</f>
        <v>-6209500</v>
      </c>
      <c r="C30" s="9">
        <f>+C28+C29</f>
        <v>-7477467</v>
      </c>
      <c r="D30" s="9">
        <f>+D28+D29</f>
        <v>-13296151</v>
      </c>
      <c r="E30" s="9">
        <f t="shared" ref="E30" si="2">+E28+E29</f>
        <v>-52573438</v>
      </c>
      <c r="F30" s="9">
        <f>+F28+F29</f>
        <v>-25126491</v>
      </c>
      <c r="G30" s="9">
        <f>+G28+G29</f>
        <v>-9723067</v>
      </c>
    </row>
    <row r="31" spans="1:7" x14ac:dyDescent="0.25">
      <c r="A31" s="18" t="s">
        <v>81</v>
      </c>
      <c r="B31" s="18"/>
      <c r="C31" s="18"/>
      <c r="D31" s="18"/>
      <c r="E31" s="18"/>
      <c r="F31" s="18"/>
      <c r="G31" s="18"/>
    </row>
    <row r="32" spans="1:7" x14ac:dyDescent="0.25">
      <c r="A32" s="4" t="s">
        <v>82</v>
      </c>
      <c r="B32" s="21">
        <v>11413399</v>
      </c>
      <c r="C32" s="21">
        <v>8165033</v>
      </c>
      <c r="D32" s="21">
        <v>64207155</v>
      </c>
      <c r="E32" s="21">
        <v>-27231630</v>
      </c>
      <c r="F32" s="5">
        <v>21940953</v>
      </c>
      <c r="G32" s="5">
        <v>-8708511</v>
      </c>
    </row>
    <row r="33" spans="1:7" x14ac:dyDescent="0.25">
      <c r="A33" s="4" t="s">
        <v>83</v>
      </c>
      <c r="B33" s="24">
        <v>0</v>
      </c>
      <c r="C33" s="24">
        <v>0</v>
      </c>
      <c r="D33" s="22">
        <v>-997500</v>
      </c>
      <c r="E33" s="22">
        <v>-997500</v>
      </c>
      <c r="F33" s="5">
        <v>-997500</v>
      </c>
      <c r="G33" s="24">
        <v>0</v>
      </c>
    </row>
    <row r="34" spans="1:7" ht="15.75" thickBot="1" x14ac:dyDescent="0.3">
      <c r="A34" s="4" t="s">
        <v>84</v>
      </c>
      <c r="B34" s="24">
        <v>0</v>
      </c>
      <c r="C34" s="19">
        <v>10500000</v>
      </c>
      <c r="D34" s="19">
        <v>3480000</v>
      </c>
      <c r="E34" s="19">
        <v>5220000</v>
      </c>
      <c r="F34" s="5">
        <v>5520100</v>
      </c>
      <c r="G34" s="5">
        <v>7001900</v>
      </c>
    </row>
    <row r="35" spans="1:7" ht="15.75" thickBot="1" x14ac:dyDescent="0.3">
      <c r="A35" s="8" t="s">
        <v>85</v>
      </c>
      <c r="B35" s="9">
        <f>+B32+B34+B33</f>
        <v>11413399</v>
      </c>
      <c r="C35" s="9">
        <f>+C32+C34+C33</f>
        <v>18665033</v>
      </c>
      <c r="D35" s="9">
        <f>+D32+D34+D33</f>
        <v>66689655</v>
      </c>
      <c r="E35" s="9">
        <f>+E32+E34+E33</f>
        <v>-23009130</v>
      </c>
      <c r="F35" s="9">
        <f>+F32+F34+F33</f>
        <v>26463553</v>
      </c>
      <c r="G35" s="9">
        <f>+G32+G34+G33</f>
        <v>-1706611</v>
      </c>
    </row>
    <row r="36" spans="1:7" ht="15.75" thickBot="1" x14ac:dyDescent="0.3">
      <c r="A36" s="8" t="s">
        <v>86</v>
      </c>
      <c r="B36" s="27">
        <f>+B26+B30+B35</f>
        <v>-339053</v>
      </c>
      <c r="C36" s="27">
        <f>+C26+C30+C35</f>
        <v>3293680</v>
      </c>
      <c r="D36" s="27">
        <f t="shared" ref="D36" si="3">+D26+D30+D35</f>
        <v>30691343</v>
      </c>
      <c r="E36" s="27">
        <f>+E26+E30+E35</f>
        <v>-31090597</v>
      </c>
      <c r="F36" s="9">
        <v>1424908</v>
      </c>
      <c r="G36" s="9">
        <v>19555748</v>
      </c>
    </row>
    <row r="37" spans="1:7" ht="15.75" thickBot="1" x14ac:dyDescent="0.3">
      <c r="A37" s="6" t="s">
        <v>87</v>
      </c>
      <c r="B37" s="25">
        <v>2873367</v>
      </c>
      <c r="C37" s="25">
        <v>2534314</v>
      </c>
      <c r="D37" s="25">
        <v>5827994</v>
      </c>
      <c r="E37" s="25">
        <v>36519337</v>
      </c>
      <c r="F37" s="7">
        <v>5428740</v>
      </c>
      <c r="G37" s="7">
        <v>6853648</v>
      </c>
    </row>
    <row r="38" spans="1:7" ht="15.75" thickBot="1" x14ac:dyDescent="0.3">
      <c r="A38" s="8" t="s">
        <v>88</v>
      </c>
      <c r="B38" s="26">
        <f>+B36+B37</f>
        <v>2534314</v>
      </c>
      <c r="C38" s="26">
        <f>+C36+C37</f>
        <v>5827994</v>
      </c>
      <c r="D38" s="26">
        <f>+D36+D37</f>
        <v>36519337</v>
      </c>
      <c r="E38" s="26">
        <f>+E36+E37</f>
        <v>5428740</v>
      </c>
      <c r="F38" s="26">
        <f>+F36+F37</f>
        <v>6853648</v>
      </c>
      <c r="G38" s="26">
        <f t="shared" ref="G38" si="4">+G36+G37</f>
        <v>26409396</v>
      </c>
    </row>
  </sheetData>
  <autoFilter ref="A5:C38" xr:uid="{00000000-0009-0000-0000-000002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Balance General</vt:lpstr>
      <vt:lpstr>Estado de Resultados</vt:lpstr>
      <vt:lpstr>Estado de Flujos de Efectivo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 Nuñez L.</dc:creator>
  <cp:keywords/>
  <dc:description/>
  <cp:lastModifiedBy>Manuel Nuñez L.</cp:lastModifiedBy>
  <cp:revision/>
  <dcterms:created xsi:type="dcterms:W3CDTF">2026-08-13T14:11:42Z</dcterms:created>
  <dcterms:modified xsi:type="dcterms:W3CDTF">2026-08-21T20:10:12Z</dcterms:modified>
  <cp:category/>
  <cp:contentStatus/>
</cp:coreProperties>
</file>